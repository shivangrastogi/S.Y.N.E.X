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eetings" sheetId="4" state="visible" r:id="rId4"/>
    <sheet xmlns:r="http://schemas.openxmlformats.org/officeDocument/2006/relationships" name="Reminders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yyyy-mm-dd"/>
    <numFmt numFmtId="166" formatCode="&quot;₹&quot;#,##0.00"/>
  </numFmts>
  <fonts count="6">
    <font>
      <name val="Calibri"/>
      <family val="2"/>
      <color theme="1"/>
      <sz val="11"/>
      <scheme val="minor"/>
    </font>
    <font>
      <b val="1"/>
      <color rgb="FFEAF6F8"/>
      <sz val="11"/>
    </font>
    <font>
      <b val="1"/>
      <color rgb="FFEAF6F8"/>
      <sz val="18"/>
    </font>
    <font>
      <b val="1"/>
      <color rgb="FF064E5C"/>
      <sz val="10"/>
    </font>
    <font>
      <b val="1"/>
      <color rgb="FF0F172A"/>
      <sz val="22"/>
    </font>
    <font>
      <i val="1"/>
      <color rgb="FF475569"/>
    </font>
  </fonts>
  <fills count="6">
    <fill>
      <patternFill/>
    </fill>
    <fill>
      <patternFill patternType="gray125"/>
    </fill>
    <fill>
      <patternFill patternType="solid">
        <fgColor rgb="FF064E5C"/>
      </patternFill>
    </fill>
    <fill>
      <patternFill patternType="solid">
        <fgColor rgb="FFE6F4F1"/>
      </patternFill>
    </fill>
    <fill>
      <patternFill patternType="solid">
        <fgColor rgb="FFF1F8FA"/>
      </patternFill>
    </fill>
    <fill>
      <patternFill patternType="solid">
        <fgColor rgb="FFFFF1B0"/>
      </patternFill>
    </fill>
  </fills>
  <borders count="2">
    <border>
      <left/>
      <right/>
      <top/>
      <bottom/>
      <diagonal/>
    </border>
    <border>
      <left style="thin">
        <color rgb="FFB7DDE2"/>
      </left>
      <right style="thin">
        <color rgb="FFB7DDE2"/>
      </right>
      <top style="thin">
        <color rgb="FFB7DDE2"/>
      </top>
      <bottom style="thin">
        <color rgb="FFB7DD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5" borderId="0" pivotButton="0" quotePrefix="0" xfId="0"/>
    <xf numFmtId="166" fontId="0" fillId="5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This Month — Category Mix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Summary'!$A$2:$A$3</f>
            </numRef>
          </cat>
          <val>
            <numRef>
              <f>'Category Summary'!$B$2:$B$3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This Month vs Last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Summary'!$A$2:$A$3</f>
            </numRef>
          </cat>
          <val>
            <numRef>
              <f>'Category Summary'!$B$2:$B$3</f>
            </numRef>
          </val>
        </ser>
        <ser>
          <idx val="1"/>
          <order val="1"/>
          <tx>
            <strRef>
              <f>'Category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Summary'!$A$2:$A$3</f>
            </numRef>
          </cat>
          <val>
            <numRef>
              <f>'Category Summary'!$C$2:$C$3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Spend (Expenses tab)</a:t>
            </a:r>
          </a:p>
        </rich>
      </tx>
    </title>
    <plotArea>
      <lineChart>
        <grouping val="standard"/>
        <ser>
          <idx val="0"/>
          <order val="0"/>
          <tx>
            <strRef>
              <f>'Expenses'!B1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'Expenses'!$A$2:$A$5</f>
            </numRef>
          </cat>
          <val>
            <numRef>
              <f>'Expenses'!$B$2:$B$5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36" customHeight="1">
      <c r="B2" s="1" t="inlineStr">
        <is>
          <t xml:space="preserve">  AERIS — Life &amp; Expense Dashboard</t>
        </is>
      </c>
    </row>
    <row r="4" ht="22" customHeight="1">
      <c r="B4" s="2" t="inlineStr">
        <is>
          <t>This Month Spend</t>
        </is>
      </c>
      <c r="D4" s="2" t="inlineStr">
        <is>
          <t>Today Spend</t>
        </is>
      </c>
      <c r="F4" s="2" t="inlineStr">
        <is>
          <t>Open Tasks</t>
        </is>
      </c>
    </row>
    <row r="5" ht="36" customHeight="1">
      <c r="B5" s="3">
        <f>IFERROR(SUMPRODUCT((Expenses!F2:F1000=TEXT(TODAY(),"mmm yy"))*Expenses!B2:B1000),0)</f>
        <v/>
      </c>
      <c r="D5" s="3">
        <f>IFERROR(SUMPRODUCT((Expenses!A2:A1000=TODAY())*Expenses!B2:B1000),0)</f>
        <v/>
      </c>
      <c r="F5" s="4">
        <f>COUNTIF(Tasks!E2:E1000,"open")</f>
        <v/>
      </c>
    </row>
    <row r="7" ht="22" customHeight="1">
      <c r="B7" s="2" t="inlineStr">
        <is>
          <t>Total Logged</t>
        </is>
      </c>
      <c r="D7" s="2" t="inlineStr">
        <is>
          <t>Top Category (Month)</t>
        </is>
      </c>
      <c r="F7" s="2" t="inlineStr">
        <is>
          <t>Upcoming Meetings</t>
        </is>
      </c>
    </row>
    <row r="8" ht="36" customHeight="1">
      <c r="B8" s="4">
        <f>COUNTA(Expenses!A2:A1000)</f>
        <v/>
      </c>
      <c r="D8" s="4">
        <f>IFERROR(INDEX('Category Summary'!A2:A50,MATCH(MAX('Category Summary'!B2:B50),'Category Summary'!B2:B50,0)),"-")</f>
        <v/>
      </c>
      <c r="F8" s="4">
        <f>COUNTIF(Meetings!F2:F1000,"scheduled")</f>
        <v/>
      </c>
    </row>
    <row r="10">
      <c r="B10" s="5" t="inlineStr">
        <is>
          <t xml:space="preserve">  Charts auto-refresh from the Expenses tab — see 'Charts' sheet.</t>
        </is>
      </c>
    </row>
  </sheetData>
  <mergeCells count="2">
    <mergeCell ref="B2:G2"/>
    <mergeCell ref="B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38" customWidth="1" min="4" max="4"/>
    <col width="18" customWidth="1" min="5" max="5"/>
    <col width="12" customWidth="1" min="6" max="6"/>
    <col width="8" customWidth="1" min="7" max="7"/>
    <col width="12" customWidth="1" min="8" max="8"/>
  </cols>
  <sheetData>
    <row r="1" ht="24" customHeight="1">
      <c r="A1" s="6" t="inlineStr">
        <is>
          <t>Date</t>
        </is>
      </c>
      <c r="B1" s="6" t="inlineStr">
        <is>
          <t>Amount (INR)</t>
        </is>
      </c>
      <c r="C1" s="6" t="inlineStr">
        <is>
          <t>Category</t>
        </is>
      </c>
      <c r="D1" s="6" t="inlineStr">
        <is>
          <t>Description</t>
        </is>
      </c>
      <c r="E1" s="6" t="inlineStr">
        <is>
          <t>Payment Method</t>
        </is>
      </c>
      <c r="F1" s="6" t="inlineStr">
        <is>
          <t>Month</t>
        </is>
      </c>
      <c r="G1" s="6" t="inlineStr">
        <is>
          <t>Week</t>
        </is>
      </c>
      <c r="H1" s="6" t="inlineStr">
        <is>
          <t>Weekday</t>
        </is>
      </c>
    </row>
    <row r="2">
      <c r="A2" s="7" t="n">
        <v>46152</v>
      </c>
      <c r="B2" s="8" t="n">
        <v>500</v>
      </c>
      <c r="C2" s="9" t="inlineStr">
        <is>
          <t>Food &amp; Dining</t>
        </is>
      </c>
      <c r="D2" s="9" t="inlineStr">
        <is>
          <t>swiggy biryani</t>
        </is>
      </c>
      <c r="E2" s="9" t="inlineStr">
        <is>
          <t>Cash</t>
        </is>
      </c>
      <c r="F2" s="9" t="inlineStr">
        <is>
          <t>May 26</t>
        </is>
      </c>
      <c r="G2" s="9" t="inlineStr">
        <is>
          <t>W19</t>
        </is>
      </c>
      <c r="H2" s="9" t="inlineStr">
        <is>
          <t>Sun</t>
        </is>
      </c>
    </row>
    <row r="3">
      <c r="A3" s="7" t="n">
        <v>46152</v>
      </c>
      <c r="B3" s="8" t="n">
        <v>1200</v>
      </c>
      <c r="C3" s="9" t="inlineStr">
        <is>
          <t>Transport</t>
        </is>
      </c>
      <c r="D3" s="9" t="inlineStr">
        <is>
          <t>uber to office</t>
        </is>
      </c>
      <c r="E3" s="9" t="inlineStr">
        <is>
          <t>Cash</t>
        </is>
      </c>
      <c r="F3" s="9" t="inlineStr">
        <is>
          <t>May 26</t>
        </is>
      </c>
      <c r="G3" s="9" t="inlineStr">
        <is>
          <t>W19</t>
        </is>
      </c>
      <c r="H3" s="9" t="inlineStr">
        <is>
          <t>Sun</t>
        </is>
      </c>
    </row>
    <row r="4">
      <c r="A4" s="7" t="n">
        <v>46152</v>
      </c>
      <c r="B4" s="8" t="n">
        <v>350</v>
      </c>
      <c r="C4" s="9" t="inlineStr">
        <is>
          <t>Food &amp; Dining</t>
        </is>
      </c>
      <c r="D4" s="9" t="inlineStr">
        <is>
          <t>chai and snacks</t>
        </is>
      </c>
      <c r="E4" s="9" t="inlineStr">
        <is>
          <t>Cash</t>
        </is>
      </c>
      <c r="F4" s="9" t="inlineStr">
        <is>
          <t>May 26</t>
        </is>
      </c>
      <c r="G4" s="9" t="inlineStr">
        <is>
          <t>W19</t>
        </is>
      </c>
      <c r="H4" s="9" t="inlineStr">
        <is>
          <t>Sun</t>
        </is>
      </c>
    </row>
    <row r="5">
      <c r="A5" s="7" t="n">
        <v>46152</v>
      </c>
      <c r="B5" s="8" t="n">
        <v>500</v>
      </c>
      <c r="C5" s="9" t="inlineStr">
        <is>
          <t>Food &amp; Dining</t>
        </is>
      </c>
      <c r="D5" s="9" t="inlineStr">
        <is>
          <t>swiggy</t>
        </is>
      </c>
      <c r="E5" s="9" t="inlineStr">
        <is>
          <t>Cash</t>
        </is>
      </c>
      <c r="F5" s="9" t="inlineStr">
        <is>
          <t>May 26</t>
        </is>
      </c>
      <c r="G5" s="9" t="inlineStr">
        <is>
          <t>W19</t>
        </is>
      </c>
      <c r="H5" s="9" t="inlineStr">
        <is>
          <t>Sun</t>
        </is>
      </c>
    </row>
  </sheetData>
  <conditionalFormatting sqref="B2">
    <cfRule type="colorScale" priority="1">
      <colorScale>
        <cfvo type="min"/>
        <cfvo type="percentile" val="50"/>
        <cfvo type="max"/>
        <color rgb="FF63B3A8"/>
        <color rgb="FFFFD972"/>
        <color rgb="FFE15A5A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63B3A8"/>
        <color rgb="FFFFD972"/>
        <color rgb="FFE15A5A"/>
      </colorScale>
    </cfRule>
  </conditionalFormatting>
  <conditionalFormatting sqref="B2:B4">
    <cfRule type="colorScale" priority="3">
      <colorScale>
        <cfvo type="min"/>
        <cfvo type="percentile" val="50"/>
        <cfvo type="max"/>
        <color rgb="FF63B3A8"/>
        <color rgb="FFFFD972"/>
        <color rgb="FFE15A5A"/>
      </colorScale>
    </cfRule>
  </conditionalFormatting>
  <conditionalFormatting sqref="B2:B5">
    <cfRule type="colorScale" priority="4">
      <colorScale>
        <cfvo type="min"/>
        <cfvo type="percentile" val="50"/>
        <cfvo type="max"/>
        <color rgb="FF63B3A8"/>
        <color rgb="FFFFD972"/>
        <color rgb="FFE15A5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8" customWidth="1" min="4" max="4"/>
    <col width="14" customWidth="1" min="5" max="5"/>
    <col width="30" customWidth="1" min="6" max="6"/>
  </cols>
  <sheetData>
    <row r="1" ht="24" customHeight="1">
      <c r="A1" s="6" t="inlineStr">
        <is>
          <t>Created</t>
        </is>
      </c>
      <c r="B1" s="6" t="inlineStr">
        <is>
          <t>Task</t>
        </is>
      </c>
      <c r="C1" s="6" t="inlineStr">
        <is>
          <t>Priority</t>
        </is>
      </c>
      <c r="D1" s="6" t="inlineStr">
        <is>
          <t>Due Date</t>
        </is>
      </c>
      <c r="E1" s="6" t="inlineStr">
        <is>
          <t>Status</t>
        </is>
      </c>
      <c r="F1" s="6" t="inlineStr">
        <is>
          <t>Notes</t>
        </is>
      </c>
    </row>
    <row r="2">
      <c r="A2" t="inlineStr">
        <is>
          <t>2026-05-10 23:22</t>
        </is>
      </c>
      <c r="B2" t="inlineStr">
        <is>
          <t>finish brain refactor by friday urgent</t>
        </is>
      </c>
      <c r="C2" t="inlineStr">
        <is>
          <t>High</t>
        </is>
      </c>
      <c r="D2" t="inlineStr">
        <is>
          <t>2026-05-15 23:59</t>
        </is>
      </c>
      <c r="E2" t="inlineStr">
        <is>
          <t>Open</t>
        </is>
      </c>
    </row>
    <row r="3">
      <c r="A3" t="inlineStr">
        <is>
          <t>2026-05-10 23:27</t>
        </is>
      </c>
      <c r="B3" t="inlineStr">
        <is>
          <t>finish report by friday urgent</t>
        </is>
      </c>
      <c r="C3" t="inlineStr">
        <is>
          <t>High</t>
        </is>
      </c>
      <c r="D3" t="inlineStr">
        <is>
          <t>2026-05-15 23:59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40" customWidth="1" min="4" max="4"/>
    <col width="22" customWidth="1" min="5" max="5"/>
    <col width="14" customWidth="1" min="6" max="6"/>
  </cols>
  <sheetData>
    <row r="1" ht="24" customHeight="1">
      <c r="A1" s="6" t="inlineStr">
        <is>
          <t>Created</t>
        </is>
      </c>
      <c r="B1" s="6" t="inlineStr">
        <is>
          <t>Person</t>
        </is>
      </c>
      <c r="C1" s="6" t="inlineStr">
        <is>
          <t>Meeting Time</t>
        </is>
      </c>
      <c r="D1" s="6" t="inlineStr">
        <is>
          <t>Agenda</t>
        </is>
      </c>
      <c r="E1" s="6" t="inlineStr">
        <is>
          <t>Location</t>
        </is>
      </c>
      <c r="F1" s="6" t="inlineStr">
        <is>
          <t>Status</t>
        </is>
      </c>
    </row>
    <row r="2">
      <c r="A2" t="inlineStr">
        <is>
          <t>2026-05-10 23:22</t>
        </is>
      </c>
      <c r="B2" t="inlineStr">
        <is>
          <t>rohan</t>
        </is>
      </c>
      <c r="C2" t="inlineStr">
        <is>
          <t>2026-05-11 17:00</t>
        </is>
      </c>
      <c r="F2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14" customWidth="1" min="4" max="4"/>
  </cols>
  <sheetData>
    <row r="1" ht="24" customHeight="1">
      <c r="A1" s="6" t="inlineStr">
        <is>
          <t>Set At</t>
        </is>
      </c>
      <c r="B1" s="6" t="inlineStr">
        <is>
          <t>Fire At</t>
        </is>
      </c>
      <c r="C1" s="6" t="inlineStr">
        <is>
          <t>Message</t>
        </is>
      </c>
      <c r="D1" s="6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4" customHeight="1">
      <c r="A1" s="6" t="inlineStr">
        <is>
          <t>Category</t>
        </is>
      </c>
      <c r="B1" s="6" t="inlineStr">
        <is>
          <t>This Month (INR)</t>
        </is>
      </c>
      <c r="C1" s="6" t="inlineStr">
        <is>
          <t>Last Month (INR)</t>
        </is>
      </c>
      <c r="D1" s="6" t="inlineStr">
        <is>
          <t>Trend</t>
        </is>
      </c>
      <c r="E1" s="6" t="inlineStr">
        <is>
          <t>% of Total</t>
        </is>
      </c>
    </row>
    <row r="2">
      <c r="A2" t="inlineStr">
        <is>
          <t>Food &amp; Dining</t>
        </is>
      </c>
      <c r="B2" s="10" t="n">
        <v>1350</v>
      </c>
      <c r="C2" s="10" t="n">
        <v>0</v>
      </c>
      <c r="D2" t="inlineStr">
        <is>
          <t>NEW</t>
        </is>
      </c>
      <c r="E2" t="inlineStr">
        <is>
          <t>53%</t>
        </is>
      </c>
    </row>
    <row r="3">
      <c r="A3" t="inlineStr">
        <is>
          <t>Transport</t>
        </is>
      </c>
      <c r="B3" s="10" t="n">
        <v>1200</v>
      </c>
      <c r="C3" s="10" t="n">
        <v>0</v>
      </c>
      <c r="D3" t="inlineStr">
        <is>
          <t>NEW</t>
        </is>
      </c>
      <c r="E3" t="inlineStr">
        <is>
          <t>47%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sheetData>
    <row r="2">
      <c r="B2" s="11" t="inlineStr">
        <is>
          <t>Spend Insights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2026-05-10T17:52:08Z</dcterms:created>
  <dcterms:modified xmlns:dcterms="http://purl.org/dc/terms/" xmlns:xsi="http://www.w3.org/2001/XMLSchema-instance" xsi:type="dcterms:W3CDTF">2026-05-10T18:35:26Z</dcterms:modified>
</cp:coreProperties>
</file>